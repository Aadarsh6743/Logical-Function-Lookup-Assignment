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rs\Desktop\"/>
    </mc:Choice>
  </mc:AlternateContent>
  <xr:revisionPtr revIDLastSave="0" documentId="8_{F2245C75-CB0F-4C38-A3FF-E47208ED0B9D}" xr6:coauthVersionLast="47" xr6:coauthVersionMax="47" xr10:uidLastSave="{00000000-0000-0000-0000-000000000000}"/>
  <bookViews>
    <workbookView xWindow="-108" yWindow="-108" windowWidth="23256" windowHeight="13176" xr2:uid="{917C1131-8136-4BF8-9348-201A98479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7" i="1" l="1"/>
  <c r="B86" i="1"/>
  <c r="C65" i="1"/>
  <c r="E72" i="1"/>
  <c r="E73" i="1"/>
  <c r="E74" i="1"/>
  <c r="C38" i="1"/>
  <c r="D25" i="1"/>
  <c r="D26" i="1"/>
  <c r="D27" i="1"/>
  <c r="D28" i="1"/>
  <c r="D24" i="1"/>
  <c r="E16" i="1"/>
  <c r="E17" i="1"/>
  <c r="E18" i="1"/>
  <c r="E15" i="1"/>
  <c r="D7" i="1"/>
  <c r="D8" i="1"/>
  <c r="D9" i="1"/>
  <c r="D10" i="1"/>
  <c r="D6" i="1"/>
</calcChain>
</file>

<file path=xl/sharedStrings.xml><?xml version="1.0" encoding="utf-8"?>
<sst xmlns="http://schemas.openxmlformats.org/spreadsheetml/2006/main" count="94" uniqueCount="80">
  <si>
    <t>Write a formula to check if the marks in cell are greater than or equal to 40. If yes, return B2 "Fail" .</t>
  </si>
  <si>
    <t>Student Name</t>
  </si>
  <si>
    <t>Marks</t>
  </si>
  <si>
    <t>Riya</t>
  </si>
  <si>
    <t>Siya</t>
  </si>
  <si>
    <t>Raju</t>
  </si>
  <si>
    <t>Rahul</t>
  </si>
  <si>
    <t>Ram</t>
  </si>
  <si>
    <t>Remarks</t>
  </si>
  <si>
    <t>company gives a bonus  if sales are above 40,000 and attendance is greater than or equal to 90%. Write a formula to calculate whether the employee will get a bonus or not</t>
  </si>
  <si>
    <t xml:space="preserve">Arjun </t>
  </si>
  <si>
    <t xml:space="preserve">Simran </t>
  </si>
  <si>
    <t>Rohit</t>
  </si>
  <si>
    <t>Anjali</t>
  </si>
  <si>
    <t xml:space="preserve">Employee  </t>
  </si>
  <si>
    <t xml:space="preserve">Sales </t>
  </si>
  <si>
    <t>Attendance</t>
  </si>
  <si>
    <t>Incentives</t>
  </si>
  <si>
    <t>Write a nested IF formula:</t>
  </si>
  <si>
    <t xml:space="preserve">        If marks in B2 "A" are ≥ 90 → , ≥ 75 → , ≥ 50 → , otherwise "Fail.</t>
  </si>
  <si>
    <t>Raj</t>
  </si>
  <si>
    <t xml:space="preserve">Neha </t>
  </si>
  <si>
    <t>Vivek</t>
  </si>
  <si>
    <t>Rani</t>
  </si>
  <si>
    <t>Sneha</t>
  </si>
  <si>
    <t xml:space="preserve">Marks </t>
  </si>
  <si>
    <t>Grade</t>
  </si>
  <si>
    <t>Find the Department of Employee ID = E103. Also explain which LOOKUP function is used and why?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</si>
  <si>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</si>
  <si>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</si>
  <si>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</si>
  <si>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</si>
  <si>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</si>
  <si>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</si>
  <si>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</si>
  <si>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</si>
  <si>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</si>
  <si>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</si>
  <si>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</si>
  <si>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</si>
  <si>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Sales</t>
  </si>
  <si>
    <t>VLOOKUP Function</t>
  </si>
  <si>
    <t>Explanation:</t>
  </si>
  <si>
    <r>
      <t xml:space="preserve">2.It searches for a value (here, </t>
    </r>
    <r>
      <rPr>
        <sz val="10"/>
        <color theme="1"/>
        <rFont val="Arial Unicode MS"/>
      </rPr>
      <t>"E103"</t>
    </r>
    <r>
      <rPr>
        <sz val="11"/>
        <color theme="1"/>
        <rFont val="Calibri"/>
        <family val="2"/>
      </rPr>
      <t xml:space="preserve">) in the </t>
    </r>
    <r>
      <rPr>
        <b/>
        <sz val="11"/>
        <color theme="1"/>
        <rFont val="Calibri"/>
        <family val="2"/>
      </rPr>
      <t>first column</t>
    </r>
    <r>
      <rPr>
        <sz val="11"/>
        <color theme="1"/>
        <rFont val="Calibri"/>
        <family val="2"/>
      </rPr>
      <t xml:space="preserve"> of a table.</t>
    </r>
  </si>
  <si>
    <r>
      <t xml:space="preserve">3.Then it returns the value from another column in the same row (here, the 3rd column = </t>
    </r>
    <r>
      <rPr>
        <i/>
        <sz val="11"/>
        <color theme="1"/>
        <rFont val="Calibri"/>
        <family val="2"/>
      </rPr>
      <t>Department</t>
    </r>
    <r>
      <rPr>
        <sz val="11"/>
        <color theme="1"/>
        <rFont val="Calibri"/>
        <family val="2"/>
      </rPr>
      <t>).</t>
    </r>
  </si>
  <si>
    <r>
      <t xml:space="preserve">4.The last argument </t>
    </r>
    <r>
      <rPr>
        <sz val="10"/>
        <color theme="1"/>
        <rFont val="Arial Unicode MS"/>
      </rPr>
      <t>FALSE</t>
    </r>
    <r>
      <rPr>
        <sz val="11"/>
        <color theme="1"/>
        <rFont val="Calibri"/>
        <family val="2"/>
      </rPr>
      <t xml:space="preserve"> ensures </t>
    </r>
    <r>
      <rPr>
        <b/>
        <sz val="11"/>
        <color theme="1"/>
        <rFont val="Calibri"/>
        <family val="2"/>
      </rPr>
      <t>exact match</t>
    </r>
    <r>
      <rPr>
        <sz val="11"/>
        <color theme="1"/>
        <rFont val="Calibri"/>
        <family val="2"/>
      </rPr>
      <t xml:space="preserve"> (it won’t guess the closest ID).</t>
    </r>
  </si>
  <si>
    <r>
      <rPr>
        <sz val="11"/>
        <color theme="1"/>
        <rFont val="Calibri"/>
        <family val="2"/>
      </rPr>
      <t>1</t>
    </r>
    <r>
      <rPr>
        <b/>
        <sz val="11"/>
        <color theme="1"/>
        <rFont val="Calibri"/>
        <family val="2"/>
      </rPr>
      <t>.VLOOKUP</t>
    </r>
    <r>
      <rPr>
        <sz val="11"/>
        <color theme="1"/>
        <rFont val="Calibri"/>
        <family val="2"/>
      </rPr>
      <t xml:space="preserve"> stands for </t>
    </r>
    <r>
      <rPr>
        <b/>
        <sz val="11"/>
        <color theme="1"/>
        <rFont val="Calibri"/>
        <family val="2"/>
      </rPr>
      <t>Vertical Lookup</t>
    </r>
    <r>
      <rPr>
        <sz val="11"/>
        <color theme="1"/>
        <rFont val="Calibri"/>
        <family val="2"/>
      </rPr>
      <t>.</t>
    </r>
  </si>
  <si>
    <t>Why VLOOKUP is used:</t>
  </si>
  <si>
    <r>
      <t xml:space="preserve">Because this  data is arranged </t>
    </r>
    <r>
      <rPr>
        <b/>
        <sz val="11"/>
        <color theme="1"/>
        <rFont val="Calibri"/>
        <family val="2"/>
      </rPr>
      <t>vertically -</t>
    </r>
    <r>
      <rPr>
        <sz val="11"/>
        <color theme="1"/>
        <rFont val="Calibri"/>
        <family val="2"/>
      </rPr>
      <t xml:space="preserve">Employee IDs are listed </t>
    </r>
    <r>
      <rPr>
        <b/>
        <sz val="11"/>
        <color theme="1"/>
        <rFont val="Calibri"/>
        <family val="2"/>
      </rPr>
      <t>top to bottom</t>
    </r>
    <r>
      <rPr>
        <sz val="11"/>
        <color theme="1"/>
        <rFont val="Calibri"/>
        <family val="2"/>
      </rPr>
      <t>.</t>
    </r>
  </si>
  <si>
    <t>A company has set the following commission structure for its sales team</t>
  </si>
  <si>
    <t xml:space="preserve">Sales Amount </t>
  </si>
  <si>
    <t>Commission Rate</t>
  </si>
  <si>
    <t xml:space="preserve">    If a salesperson achieves sales of ₹45,000, use the VLOOKUP function to determine the commission rate applicable.</t>
  </si>
  <si>
    <t>The HR department maintains the following leave records of employees:onus or not .</t>
  </si>
  <si>
    <t xml:space="preserve">   Write an IF function to check whether an employee has Exceeded their allowed leave balance. </t>
  </si>
  <si>
    <t xml:space="preserve">      If Leaves Taken &gt; Allowed Leaves, display "Exceeded". </t>
  </si>
  <si>
    <t xml:space="preserve">     Otherwise, display "OK".</t>
  </si>
  <si>
    <t xml:space="preserve">Employee Name </t>
  </si>
  <si>
    <t xml:space="preserve">Leaves Taken </t>
  </si>
  <si>
    <t xml:space="preserve">Leaves Allowed </t>
  </si>
  <si>
    <t>Alex</t>
  </si>
  <si>
    <t>Bob</t>
  </si>
  <si>
    <t>Anna</t>
  </si>
  <si>
    <t>Status</t>
  </si>
  <si>
    <t>[=if(C72&gt;D72, "Exceeds", "Ok")]</t>
  </si>
  <si>
    <t>[=VLOOKUP(B61, B59:C62, 2, TRUE)]</t>
  </si>
  <si>
    <t>[=VLOOKUP(B35, B33:D37, 3, FALSE)]</t>
  </si>
  <si>
    <t>[=IF(AND($C$15&gt;40000, D15&gt;=90%), "Bonus", "No Bonus")]</t>
  </si>
  <si>
    <t>[=IF(C6&gt;=40, "pass", "Fail")]</t>
  </si>
  <si>
    <t>[=IF(C24&gt;=90,"A",IF(C24&gt;=75,"B",IF(C24&gt;=50,"C","Fail"))) ]</t>
  </si>
  <si>
    <t>Find the salary of EmpID = E105 using INDEX-MATCH Function.</t>
  </si>
  <si>
    <t>Salary</t>
  </si>
  <si>
    <t>E105</t>
  </si>
  <si>
    <t>E106</t>
  </si>
  <si>
    <t>USE se the XLOOKUP function to find the Department of the employee with Emp ID = E303</t>
  </si>
  <si>
    <t>E303</t>
  </si>
  <si>
    <t>E301</t>
  </si>
  <si>
    <t>[ =INDEX(C81:C84, MATCH(B82, B81:B84, 0)) ]</t>
  </si>
  <si>
    <t>Xlookup Function</t>
  </si>
  <si>
    <t>[ =XLOOKUP(B92,B90:B94, $C$90:$C$94, "Not Found")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</si>
</sst>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.00_ ;_ [$₹-4009]\ * \-#,##0.00_ ;_ [$₹-4009]\ * &quot;-&quot;??_ ;_ @_ "/>
  </numFmts>
  <fonts count="6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.5"/>
      <color theme="1"/>
      <name val="Calibri"/>
      <family val="2"/>
    </font>
    <font>
      <sz val="10"/>
      <color theme="1"/>
      <name val="Arial Unicode MS"/>
    </font>
    <font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3" xfId="0" applyFont="1" applyBorder="1"/>
    <xf numFmtId="0" fontId="2" fillId="0" borderId="5" xfId="0" applyFont="1" applyBorder="1"/>
    <xf numFmtId="0" fontId="0" fillId="0" borderId="2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168" fontId="0" fillId="0" borderId="2" xfId="0" applyNumberFormat="1" applyBorder="1"/>
    <xf numFmtId="168" fontId="0" fillId="0" borderId="1" xfId="0" applyNumberFormat="1" applyBorder="1"/>
    <xf numFmtId="9" fontId="0" fillId="0" borderId="2" xfId="0" applyNumberFormat="1" applyBorder="1"/>
    <xf numFmtId="9" fontId="0" fillId="0" borderId="1" xfId="0" applyNumberFormat="1" applyBorder="1"/>
    <xf numFmtId="9" fontId="0" fillId="0" borderId="2" xfId="1" applyFont="1" applyBorder="1"/>
    <xf numFmtId="9" fontId="0" fillId="0" borderId="1" xfId="1" applyFon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10" fontId="0" fillId="2" borderId="0" xfId="0" applyNumberFormat="1" applyFill="1"/>
    <xf numFmtId="0" fontId="0" fillId="2" borderId="0" xfId="0" applyFill="1"/>
    <xf numFmtId="0" fontId="2" fillId="2" borderId="5" xfId="0" applyFont="1" applyFill="1" applyBorder="1" applyAlignment="1">
      <alignment horizontal="center"/>
    </xf>
    <xf numFmtId="0" fontId="0" fillId="2" borderId="2" xfId="0" applyFill="1" applyBorder="1"/>
    <xf numFmtId="0" fontId="0" fillId="2" borderId="2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Border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9" fontId="2" fillId="3" borderId="4" xfId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indent="1"/>
    </xf>
    <xf numFmtId="0" fontId="2" fillId="3" borderId="5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2" borderId="0" xfId="0" applyFont="1" applyFill="1" applyBorder="1"/>
    <xf numFmtId="0" fontId="0" fillId="0" borderId="7" xfId="0" applyFill="1" applyBorder="1" applyAlignment="1">
      <alignment horizontal="center"/>
    </xf>
    <xf numFmtId="0" fontId="2" fillId="4" borderId="3" xfId="0" applyFont="1" applyFill="1" applyBorder="1"/>
    <xf numFmtId="0" fontId="2" fillId="4" borderId="5" xfId="0" applyFont="1" applyFill="1" applyBorder="1"/>
    <xf numFmtId="0" fontId="2" fillId="2" borderId="0" xfId="0" applyFont="1" applyFill="1"/>
    <xf numFmtId="0" fontId="2" fillId="0" borderId="0" xfId="0" applyFont="1" applyFill="1" applyBorder="1" applyAlignment="1">
      <alignment vertical="center" wrapText="1"/>
    </xf>
    <xf numFmtId="0" fontId="2" fillId="0" borderId="6" xfId="0" applyFont="1" applyFill="1" applyBorder="1"/>
    <xf numFmtId="0" fontId="2" fillId="0" borderId="7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B101-9FDF-4C68-A6C7-07832F6F7E62}">
  <dimension ref="A3:E97"/>
  <sheetViews>
    <sheetView tabSelected="1" workbookViewId="0">
      <selection activeCell="E21" sqref="E21"/>
    </sheetView>
  </sheetViews>
  <sheetFormatPr defaultRowHeight="14.4"/>
  <cols>
    <col min="2" max="2" width="16.88671875" customWidth="1"/>
    <col min="3" max="3" width="15.88671875" customWidth="1"/>
    <col min="4" max="4" width="16" customWidth="1"/>
    <col min="5" max="5" width="18.77734375" customWidth="1"/>
  </cols>
  <sheetData>
    <row r="3" spans="1:5">
      <c r="A3">
        <v>1</v>
      </c>
      <c r="B3" t="s">
        <v>0</v>
      </c>
    </row>
    <row r="4" spans="1:5" ht="15" thickBot="1"/>
    <row r="5" spans="1:5" ht="15" thickBot="1">
      <c r="B5" s="34" t="s">
        <v>1</v>
      </c>
      <c r="C5" s="35" t="s">
        <v>2</v>
      </c>
      <c r="D5" s="27" t="s">
        <v>8</v>
      </c>
    </row>
    <row r="6" spans="1:5">
      <c r="B6" s="4" t="s">
        <v>3</v>
      </c>
      <c r="C6" s="6">
        <v>45</v>
      </c>
      <c r="D6" s="29" t="str">
        <f>IF(C6&gt;=40, "pass", "Fail")</f>
        <v>pass</v>
      </c>
    </row>
    <row r="7" spans="1:5">
      <c r="B7" s="5" t="s">
        <v>4</v>
      </c>
      <c r="C7" s="7">
        <v>72</v>
      </c>
      <c r="D7" s="30" t="str">
        <f t="shared" ref="D7:D10" si="0">IF(C7&gt;=40, "pass", "Fail")</f>
        <v>pass</v>
      </c>
    </row>
    <row r="8" spans="1:5">
      <c r="B8" s="5" t="s">
        <v>5</v>
      </c>
      <c r="C8" s="7">
        <v>55</v>
      </c>
      <c r="D8" s="30" t="str">
        <f t="shared" si="0"/>
        <v>pass</v>
      </c>
    </row>
    <row r="9" spans="1:5">
      <c r="B9" s="5" t="s">
        <v>6</v>
      </c>
      <c r="C9" s="7">
        <v>80</v>
      </c>
      <c r="D9" s="30" t="str">
        <f t="shared" si="0"/>
        <v>pass</v>
      </c>
    </row>
    <row r="10" spans="1:5">
      <c r="B10" s="5" t="s">
        <v>7</v>
      </c>
      <c r="C10" s="7">
        <v>30</v>
      </c>
      <c r="D10" s="30" t="str">
        <f t="shared" si="0"/>
        <v>Fail</v>
      </c>
    </row>
    <row r="11" spans="1:5">
      <c r="B11" s="50" t="s">
        <v>68</v>
      </c>
    </row>
    <row r="12" spans="1:5">
      <c r="A12">
        <v>2</v>
      </c>
      <c r="B12" t="s">
        <v>9</v>
      </c>
    </row>
    <row r="13" spans="1:5" ht="15" thickBot="1"/>
    <row r="14" spans="1:5" ht="15" thickBot="1">
      <c r="B14" s="34" t="s">
        <v>14</v>
      </c>
      <c r="C14" s="35" t="s">
        <v>15</v>
      </c>
      <c r="D14" s="36" t="s">
        <v>16</v>
      </c>
      <c r="E14" s="27" t="s">
        <v>17</v>
      </c>
    </row>
    <row r="15" spans="1:5">
      <c r="B15" s="9" t="s">
        <v>10</v>
      </c>
      <c r="C15" s="10">
        <v>55000</v>
      </c>
      <c r="D15" s="14">
        <v>0.95</v>
      </c>
      <c r="E15" s="28" t="str">
        <f>IF(AND($C$15&gt;40000, D15&gt;=90%), "Bonus", "No Bonus")</f>
        <v>Bonus</v>
      </c>
    </row>
    <row r="16" spans="1:5">
      <c r="B16" s="8" t="s">
        <v>11</v>
      </c>
      <c r="C16" s="11">
        <v>65000</v>
      </c>
      <c r="D16" s="15">
        <v>0.85</v>
      </c>
      <c r="E16" s="28" t="str">
        <f t="shared" ref="E16:E18" si="1">IF(AND($C$15&gt;40000, D16&gt;=90%), "Bonus", "No Bonus")</f>
        <v>No Bonus</v>
      </c>
    </row>
    <row r="17" spans="1:5">
      <c r="B17" s="8" t="s">
        <v>12</v>
      </c>
      <c r="C17" s="11">
        <v>30000</v>
      </c>
      <c r="D17" s="15">
        <v>0.9</v>
      </c>
      <c r="E17" s="28" t="str">
        <f t="shared" si="1"/>
        <v>Bonus</v>
      </c>
    </row>
    <row r="18" spans="1:5">
      <c r="B18" s="8" t="s">
        <v>13</v>
      </c>
      <c r="C18" s="11">
        <v>25000</v>
      </c>
      <c r="D18" s="15">
        <v>0.65</v>
      </c>
      <c r="E18" s="28" t="str">
        <f t="shared" si="1"/>
        <v>No Bonus</v>
      </c>
    </row>
    <row r="19" spans="1:5">
      <c r="B19" s="49" t="s">
        <v>67</v>
      </c>
    </row>
    <row r="20" spans="1:5">
      <c r="A20">
        <v>3</v>
      </c>
      <c r="B20" t="s">
        <v>18</v>
      </c>
    </row>
    <row r="21" spans="1:5">
      <c r="B21" t="s">
        <v>19</v>
      </c>
    </row>
    <row r="22" spans="1:5" ht="15" thickBot="1"/>
    <row r="23" spans="1:5" ht="15" thickBot="1">
      <c r="B23" s="34" t="s">
        <v>1</v>
      </c>
      <c r="C23" s="35" t="s">
        <v>25</v>
      </c>
      <c r="D23" s="27" t="s">
        <v>26</v>
      </c>
    </row>
    <row r="24" spans="1:5">
      <c r="B24" s="16" t="s">
        <v>20</v>
      </c>
      <c r="C24" s="16">
        <v>85</v>
      </c>
      <c r="D24" s="31" t="str">
        <f>IF(C24&gt;=90,"A",IF(C24&gt;=75,"B",IF(C24&gt;=50,"C","Fail")))</f>
        <v>B</v>
      </c>
    </row>
    <row r="25" spans="1:5">
      <c r="B25" s="17" t="s">
        <v>21</v>
      </c>
      <c r="C25" s="17">
        <v>96</v>
      </c>
      <c r="D25" s="32" t="str">
        <f t="shared" ref="D25:D28" si="2">IF(C25&gt;=90,"A",IF(C25&gt;=75,"B",IF(C25&gt;=50,"C","Fail")))</f>
        <v>A</v>
      </c>
    </row>
    <row r="26" spans="1:5">
      <c r="B26" s="17" t="s">
        <v>22</v>
      </c>
      <c r="C26" s="17">
        <v>57</v>
      </c>
      <c r="D26" s="32" t="str">
        <f t="shared" si="2"/>
        <v>C</v>
      </c>
    </row>
    <row r="27" spans="1:5">
      <c r="B27" s="17" t="s">
        <v>23</v>
      </c>
      <c r="C27" s="17">
        <v>92</v>
      </c>
      <c r="D27" s="32" t="str">
        <f t="shared" si="2"/>
        <v>A</v>
      </c>
    </row>
    <row r="28" spans="1:5">
      <c r="B28" s="17" t="s">
        <v>24</v>
      </c>
      <c r="C28" s="17">
        <v>75</v>
      </c>
      <c r="D28" s="32" t="str">
        <f t="shared" si="2"/>
        <v>B</v>
      </c>
    </row>
    <row r="29" spans="1:5">
      <c r="B29" s="44"/>
      <c r="C29" s="1" t="s">
        <v>69</v>
      </c>
    </row>
    <row r="30" spans="1:5">
      <c r="A30">
        <v>4</v>
      </c>
      <c r="B30" t="s">
        <v>27</v>
      </c>
    </row>
    <row r="31" spans="1:5" ht="15" thickBot="1"/>
    <row r="32" spans="1:5" ht="15" thickBot="1">
      <c r="B32" s="37" t="s">
        <v>28</v>
      </c>
      <c r="C32" s="38" t="s">
        <v>29</v>
      </c>
      <c r="D32" s="20" t="s">
        <v>30</v>
      </c>
    </row>
    <row r="33" spans="2:4">
      <c r="B33" s="19" t="s">
        <v>31</v>
      </c>
      <c r="C33" s="19" t="s">
        <v>5</v>
      </c>
      <c r="D33" s="19" t="s">
        <v>32</v>
      </c>
    </row>
    <row r="34" spans="2:4">
      <c r="B34" s="18" t="s">
        <v>33</v>
      </c>
      <c r="C34" s="18" t="s">
        <v>3</v>
      </c>
      <c r="D34" s="18" t="s">
        <v>34</v>
      </c>
    </row>
    <row r="35" spans="2:4">
      <c r="B35" s="18" t="s">
        <v>35</v>
      </c>
      <c r="C35" s="18" t="s">
        <v>36</v>
      </c>
      <c r="D35" s="18" t="s">
        <v>37</v>
      </c>
    </row>
    <row r="36" spans="2:4">
      <c r="B36" s="18" t="s">
        <v>38</v>
      </c>
      <c r="C36" s="18" t="s">
        <v>39</v>
      </c>
      <c r="D36" s="18" t="s">
        <v>40</v>
      </c>
    </row>
    <row r="38" spans="2:4" ht="28.8">
      <c r="B38" s="21" t="s">
        <v>41</v>
      </c>
      <c r="C38" s="26" t="str">
        <f>VLOOKUP(B35, B33:D37, 3, FALSE)</f>
        <v>Finance</v>
      </c>
    </row>
    <row r="39" spans="2:4" ht="43.2">
      <c r="B39" s="48" t="s">
        <v>66</v>
      </c>
    </row>
    <row r="41" spans="2:4" ht="18">
      <c r="B41" s="22" t="s">
        <v>42</v>
      </c>
    </row>
    <row r="42" spans="2:4">
      <c r="B42" s="23"/>
    </row>
    <row r="43" spans="2:4">
      <c r="B43" s="24" t="s">
        <v>46</v>
      </c>
    </row>
    <row r="44" spans="2:4">
      <c r="B44" s="23"/>
    </row>
    <row r="45" spans="2:4">
      <c r="B45" s="23" t="s">
        <v>43</v>
      </c>
    </row>
    <row r="46" spans="2:4">
      <c r="B46" s="23"/>
    </row>
    <row r="47" spans="2:4">
      <c r="B47" s="23" t="s">
        <v>44</v>
      </c>
    </row>
    <row r="48" spans="2:4">
      <c r="B48" s="23"/>
    </row>
    <row r="49" spans="1:3">
      <c r="B49" s="23" t="s">
        <v>45</v>
      </c>
    </row>
    <row r="51" spans="1:3" ht="18">
      <c r="B51" s="22" t="s">
        <v>47</v>
      </c>
    </row>
    <row r="52" spans="1:3">
      <c r="B52" s="23"/>
    </row>
    <row r="53" spans="1:3">
      <c r="B53" s="23" t="s">
        <v>48</v>
      </c>
    </row>
    <row r="54" spans="1:3">
      <c r="B54" s="23"/>
    </row>
    <row r="55" spans="1:3">
      <c r="A55">
        <v>5</v>
      </c>
      <c r="B55" t="s">
        <v>49</v>
      </c>
    </row>
    <row r="56" spans="1:3">
      <c r="B56" t="s">
        <v>52</v>
      </c>
    </row>
    <row r="57" spans="1:3" ht="15" thickBot="1">
      <c r="B57" s="33"/>
      <c r="C57" s="33"/>
    </row>
    <row r="58" spans="1:3" ht="15" thickBot="1">
      <c r="B58" s="39" t="s">
        <v>50</v>
      </c>
      <c r="C58" s="40" t="s">
        <v>51</v>
      </c>
    </row>
    <row r="59" spans="1:3">
      <c r="B59" s="9">
        <v>0</v>
      </c>
      <c r="C59" s="12">
        <v>0.05</v>
      </c>
    </row>
    <row r="60" spans="1:3">
      <c r="B60" s="8">
        <v>20000</v>
      </c>
      <c r="C60" s="13">
        <v>0.1</v>
      </c>
    </row>
    <row r="61" spans="1:3">
      <c r="B61" s="8">
        <v>50000</v>
      </c>
      <c r="C61" s="13">
        <v>0.15</v>
      </c>
    </row>
    <row r="62" spans="1:3">
      <c r="B62" s="8">
        <v>80000</v>
      </c>
      <c r="C62" s="13">
        <v>0.2</v>
      </c>
    </row>
    <row r="64" spans="1:3">
      <c r="B64" s="1" t="s">
        <v>65</v>
      </c>
    </row>
    <row r="65" spans="1:5">
      <c r="B65">
        <v>45000</v>
      </c>
      <c r="C65" s="25">
        <f>VLOOKUP(B61, B59:C62, 2, TRUE)</f>
        <v>0.15</v>
      </c>
    </row>
    <row r="66" spans="1:5">
      <c r="A66">
        <v>6</v>
      </c>
      <c r="B66" t="s">
        <v>53</v>
      </c>
    </row>
    <row r="67" spans="1:5">
      <c r="B67" t="s">
        <v>54</v>
      </c>
    </row>
    <row r="68" spans="1:5">
      <c r="B68" t="s">
        <v>55</v>
      </c>
    </row>
    <row r="69" spans="1:5">
      <c r="B69" t="s">
        <v>56</v>
      </c>
    </row>
    <row r="70" spans="1:5" ht="15" thickBot="1"/>
    <row r="71" spans="1:5" ht="15" thickBot="1">
      <c r="B71" s="41" t="s">
        <v>57</v>
      </c>
      <c r="C71" s="42" t="s">
        <v>58</v>
      </c>
      <c r="D71" s="40" t="s">
        <v>59</v>
      </c>
      <c r="E71" s="43" t="s">
        <v>63</v>
      </c>
    </row>
    <row r="72" spans="1:5">
      <c r="B72" s="9" t="s">
        <v>60</v>
      </c>
      <c r="C72" s="9">
        <v>10</v>
      </c>
      <c r="D72" s="9">
        <v>12</v>
      </c>
      <c r="E72" t="str">
        <f>IF(C72&gt;D72, "Exceeds", "Ok")</f>
        <v>Ok</v>
      </c>
    </row>
    <row r="73" spans="1:5">
      <c r="B73" s="8" t="s">
        <v>61</v>
      </c>
      <c r="C73" s="8">
        <v>17</v>
      </c>
      <c r="D73" s="8">
        <v>15</v>
      </c>
      <c r="E73" t="str">
        <f t="shared" ref="E73:E74" si="3">IF(C73&gt;D73, "Exceeds", "Ok")</f>
        <v>Exceeds</v>
      </c>
    </row>
    <row r="74" spans="1:5">
      <c r="B74" s="8" t="s">
        <v>62</v>
      </c>
      <c r="C74" s="8">
        <v>8</v>
      </c>
      <c r="D74" s="8">
        <v>12</v>
      </c>
      <c r="E74" t="str">
        <f t="shared" si="3"/>
        <v>Ok</v>
      </c>
    </row>
    <row r="76" spans="1:5">
      <c r="B76" s="1" t="s">
        <v>64</v>
      </c>
    </row>
    <row r="78" spans="1:5">
      <c r="A78">
        <v>7</v>
      </c>
      <c r="B78" t="s">
        <v>70</v>
      </c>
    </row>
    <row r="79" spans="1:5" ht="15" thickBot="1"/>
    <row r="80" spans="1:5" ht="15" thickBot="1">
      <c r="B80" s="45" t="s">
        <v>28</v>
      </c>
      <c r="C80" s="46" t="s">
        <v>71</v>
      </c>
    </row>
    <row r="81" spans="1:3">
      <c r="B81" s="9" t="s">
        <v>38</v>
      </c>
      <c r="C81" s="9">
        <v>55000</v>
      </c>
    </row>
    <row r="82" spans="1:3">
      <c r="B82" s="8" t="s">
        <v>72</v>
      </c>
      <c r="C82" s="8">
        <v>72000</v>
      </c>
    </row>
    <row r="83" spans="1:3">
      <c r="B83" s="8" t="s">
        <v>73</v>
      </c>
      <c r="C83" s="8">
        <v>62000</v>
      </c>
    </row>
    <row r="84" spans="1:3">
      <c r="B84" s="8" t="s">
        <v>33</v>
      </c>
      <c r="C84" s="8">
        <v>41000</v>
      </c>
    </row>
    <row r="85" spans="1:3">
      <c r="B85" s="1" t="s">
        <v>77</v>
      </c>
    </row>
    <row r="86" spans="1:3">
      <c r="B86" s="47">
        <f>INDEX(C81:C84, MATCH(B82, B81:B84, 0))</f>
        <v>72000</v>
      </c>
    </row>
    <row r="88" spans="1:3">
      <c r="A88">
        <v>8</v>
      </c>
      <c r="B88" t="s">
        <v>74</v>
      </c>
    </row>
    <row r="89" spans="1:3" ht="15" thickBot="1"/>
    <row r="90" spans="1:3" ht="15" thickBot="1">
      <c r="B90" s="2" t="s">
        <v>28</v>
      </c>
      <c r="C90" s="3" t="s">
        <v>71</v>
      </c>
    </row>
    <row r="91" spans="1:3">
      <c r="B91" s="9" t="s">
        <v>31</v>
      </c>
      <c r="C91" s="9" t="s">
        <v>34</v>
      </c>
    </row>
    <row r="92" spans="1:3">
      <c r="B92" s="8" t="s">
        <v>75</v>
      </c>
      <c r="C92" s="8" t="s">
        <v>32</v>
      </c>
    </row>
    <row r="93" spans="1:3">
      <c r="B93" s="8" t="s">
        <v>73</v>
      </c>
      <c r="C93" s="8" t="s">
        <v>40</v>
      </c>
    </row>
    <row r="94" spans="1:3">
      <c r="B94" s="8" t="s">
        <v>76</v>
      </c>
      <c r="C94" s="8" t="s">
        <v>37</v>
      </c>
    </row>
    <row r="96" spans="1:3">
      <c r="B96" s="1" t="s">
        <v>79</v>
      </c>
    </row>
    <row r="97" spans="2:3">
      <c r="B97" s="1" t="s">
        <v>78</v>
      </c>
      <c r="C97" s="47" t="str">
        <f>_xlfn.XLOOKUP(B92,B90:B94, $C$90:$C$94, "Not Found")</f>
        <v>IT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Darshit Aadarsh</dc:creator>
  <cp:lastModifiedBy>Darshit Aadarsh</cp:lastModifiedBy>
  <cp:lastPrinted>2025-11-11T18:02:47Z</cp:lastPrinted>
  <dcterms:created xsi:type="dcterms:W3CDTF">2025-11-11T14:37:12Z</dcterms:created>
  <dcterms:modified xsi:type="dcterms:W3CDTF">2025-11-11T18:03:57Z</dcterms:modified>
</cp:coreProperties>
</file>